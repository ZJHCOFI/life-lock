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迅雷下载\"/>
    </mc:Choice>
  </mc:AlternateContent>
  <xr:revisionPtr revIDLastSave="0" documentId="13_ncr:1_{4A7D87F0-C4D3-423D-B35C-943909BBC8D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fe-loc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5" i="1" l="1"/>
  <c r="L16" i="1"/>
  <c r="L14" i="1"/>
  <c r="M16" i="1"/>
  <c r="L23" i="1" s="1"/>
  <c r="M15" i="1"/>
  <c r="L22" i="1" s="1"/>
  <c r="M14" i="1"/>
  <c r="L21" i="1" s="1"/>
  <c r="K56" i="1"/>
  <c r="K55" i="1"/>
  <c r="K54" i="1"/>
  <c r="N18" i="1"/>
  <c r="D24" i="1" s="1"/>
  <c r="B31" i="1"/>
  <c r="L34" i="1" s="1"/>
  <c r="B32" i="1"/>
  <c r="L35" i="1" s="1"/>
  <c r="J29" i="1"/>
  <c r="N5" i="1"/>
  <c r="J28" i="1"/>
  <c r="B30" i="1"/>
  <c r="L33" i="1" s="1"/>
  <c r="J27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O20" i="1"/>
  <c r="D29" i="1" s="1"/>
  <c r="I29" i="1"/>
  <c r="F29" i="1"/>
  <c r="O19" i="1"/>
  <c r="D28" i="1" s="1"/>
  <c r="I28" i="1"/>
  <c r="F28" i="1"/>
  <c r="H27" i="1"/>
  <c r="F27" i="1"/>
  <c r="G29" i="1"/>
  <c r="G28" i="1"/>
  <c r="G27" i="1"/>
  <c r="K53" i="1"/>
  <c r="K52" i="1"/>
  <c r="K51" i="1"/>
  <c r="J26" i="1"/>
  <c r="I26" i="1"/>
  <c r="F26" i="1"/>
  <c r="J25" i="1"/>
  <c r="I25" i="1"/>
  <c r="F25" i="1"/>
  <c r="J24" i="1"/>
  <c r="H24" i="1"/>
  <c r="F24" i="1"/>
  <c r="G26" i="1"/>
  <c r="G25" i="1"/>
  <c r="G24" i="1"/>
  <c r="K26" i="1"/>
  <c r="K25" i="1"/>
  <c r="K24" i="1"/>
  <c r="I24" i="1"/>
  <c r="H25" i="1"/>
  <c r="H26" i="1"/>
  <c r="I27" i="1"/>
  <c r="H29" i="1"/>
  <c r="H28" i="1"/>
  <c r="K50" i="1"/>
  <c r="K32" i="1"/>
  <c r="K29" i="1"/>
  <c r="K23" i="1"/>
  <c r="K20" i="1"/>
  <c r="K49" i="1"/>
  <c r="K31" i="1"/>
  <c r="K28" i="1"/>
  <c r="K22" i="1"/>
  <c r="K19" i="1"/>
  <c r="K48" i="1"/>
  <c r="K30" i="1"/>
  <c r="K27" i="1"/>
  <c r="K21" i="1"/>
  <c r="K18" i="1"/>
  <c r="D25" i="1" l="1"/>
  <c r="D26" i="1"/>
  <c r="D27" i="1"/>
  <c r="M21" i="1"/>
  <c r="M22" i="1"/>
  <c r="M23" i="1"/>
  <c r="C29" i="1" l="1"/>
  <c r="M29" i="1" s="1"/>
  <c r="M32" i="1" s="1"/>
  <c r="M47" i="1" s="1"/>
  <c r="C26" i="1"/>
  <c r="M26" i="1" s="1"/>
  <c r="C28" i="1"/>
  <c r="C25" i="1"/>
  <c r="O22" i="1"/>
  <c r="N21" i="1"/>
  <c r="C24" i="1"/>
  <c r="C27" i="1"/>
  <c r="O23" i="1"/>
  <c r="L26" i="1" l="1"/>
  <c r="L29" i="1"/>
  <c r="L32" i="1" s="1"/>
  <c r="L47" i="1" s="1"/>
  <c r="L50" i="1" s="1"/>
  <c r="E29" i="1"/>
  <c r="O29" i="1" s="1"/>
  <c r="O32" i="1" s="1"/>
  <c r="O47" i="1" s="1"/>
  <c r="E26" i="1"/>
  <c r="O26" i="1" s="1"/>
  <c r="M27" i="1"/>
  <c r="M30" i="1" s="1"/>
  <c r="M45" i="1" s="1"/>
  <c r="L27" i="1"/>
  <c r="L30" i="1" s="1"/>
  <c r="L45" i="1" s="1"/>
  <c r="L24" i="1"/>
  <c r="M24" i="1"/>
  <c r="E24" i="1"/>
  <c r="N24" i="1" s="1"/>
  <c r="E27" i="1"/>
  <c r="N27" i="1" s="1"/>
  <c r="N30" i="1" s="1"/>
  <c r="N45" i="1" s="1"/>
  <c r="E25" i="1"/>
  <c r="O25" i="1" s="1"/>
  <c r="E28" i="1"/>
  <c r="O28" i="1" s="1"/>
  <c r="O31" i="1" s="1"/>
  <c r="O46" i="1" s="1"/>
  <c r="L25" i="1"/>
  <c r="M25" i="1"/>
  <c r="M28" i="1"/>
  <c r="M31" i="1" s="1"/>
  <c r="M46" i="1" s="1"/>
  <c r="L28" i="1"/>
  <c r="L31" i="1" s="1"/>
  <c r="L46" i="1" s="1"/>
  <c r="M53" i="1"/>
  <c r="M56" i="1"/>
  <c r="M50" i="1"/>
  <c r="L56" i="1" l="1"/>
  <c r="L53" i="1"/>
  <c r="N48" i="1"/>
  <c r="N54" i="1"/>
  <c r="N51" i="1"/>
  <c r="O53" i="1"/>
  <c r="O56" i="1"/>
  <c r="O50" i="1"/>
  <c r="M49" i="1"/>
  <c r="M55" i="1"/>
  <c r="M52" i="1"/>
  <c r="L51" i="1"/>
  <c r="L54" i="1"/>
  <c r="L48" i="1"/>
  <c r="O49" i="1"/>
  <c r="O52" i="1"/>
  <c r="O55" i="1"/>
  <c r="L49" i="1"/>
  <c r="L52" i="1"/>
  <c r="L55" i="1"/>
  <c r="M51" i="1"/>
  <c r="M48" i="1"/>
  <c r="M5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tc={EACA7E92-1893-4FA3-8E21-54B4B24A3520}</author>
  </authors>
  <commentList>
    <comment ref="A33" authorId="0" shapeId="0" xr:uid="{EACA7E92-1893-4FA3-8E21-54B4B24A3520}">
      <text>
        <t>[线程批注]
你的Excel版本可读取此线程批注; 但如果在更新版本的Excel中打开文件，则对批注所作的任何改动都将被删除。了解详细信息: https://go.microsoft.com/fwlink/?linkid=870924
注释:
    首套住房，若面积在 140 平米（含）以下，契税征收比例为 1%；若面积超过 140 平米，契税征收比例为 1.5%</t>
      </text>
    </comment>
  </commentList>
</comments>
</file>

<file path=xl/sharedStrings.xml><?xml version="1.0" encoding="utf-8"?>
<sst xmlns="http://schemas.openxmlformats.org/spreadsheetml/2006/main" count="44" uniqueCount="43">
  <si>
    <t>佛山</t>
    <phoneticPr fontId="1" type="noConversion"/>
  </si>
  <si>
    <t>面积需求</t>
    <phoneticPr fontId="1" type="noConversion"/>
  </si>
  <si>
    <t>公积金贷款额</t>
    <phoneticPr fontId="1" type="noConversion"/>
  </si>
  <si>
    <t>商业贷款额</t>
    <phoneticPr fontId="1" type="noConversion"/>
  </si>
  <si>
    <t>广州</t>
    <phoneticPr fontId="1" type="noConversion"/>
  </si>
  <si>
    <t>首付</t>
    <phoneticPr fontId="1" type="noConversion"/>
  </si>
  <si>
    <t>首付比例</t>
    <phoneticPr fontId="1" type="noConversion"/>
  </si>
  <si>
    <t>公积金贷款（异地买房）年利率</t>
    <phoneticPr fontId="1" type="noConversion"/>
  </si>
  <si>
    <t>公积金贷款（本地买房）年利率</t>
    <phoneticPr fontId="1" type="noConversion"/>
  </si>
  <si>
    <t>公积金贷款（本地买房）额度</t>
    <phoneticPr fontId="1" type="noConversion"/>
  </si>
  <si>
    <t>公积金贷款（异地买房）额度</t>
    <phoneticPr fontId="1" type="noConversion"/>
  </si>
  <si>
    <t>贷款参数</t>
    <phoneticPr fontId="1" type="noConversion"/>
  </si>
  <si>
    <t>城市</t>
    <phoneticPr fontId="1" type="noConversion"/>
  </si>
  <si>
    <t>建筑面积(m²)</t>
    <phoneticPr fontId="1" type="noConversion"/>
  </si>
  <si>
    <t>公摊面积(m²)</t>
    <phoneticPr fontId="1" type="noConversion"/>
  </si>
  <si>
    <t>实际面积(m²)</t>
    <phoneticPr fontId="1" type="noConversion"/>
  </si>
  <si>
    <t>还款年数(年)</t>
    <phoneticPr fontId="1" type="noConversion"/>
  </si>
  <si>
    <t>50年建筑设计使用年限，平均每月金额</t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</si>
  <si>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实际房价</t>
    </r>
    <r>
      <rPr>
        <b/>
        <sz val="11"/>
        <color theme="1"/>
        <rFont val="等线"/>
        <family val="3"/>
        <charset val="134"/>
        <scheme val="minor"/>
      </rPr>
      <t xml:space="preserve">
</t>
    </r>
    <r>
      <rPr>
        <sz val="11"/>
        <color theme="1"/>
        <rFont val="等线"/>
        <family val="3"/>
        <charset val="134"/>
        <scheme val="minor"/>
      </rPr>
      <t>(按实际面积计算，平均每m²的金额)</t>
    </r>
    <phoneticPr fontId="1" type="noConversion"/>
  </si>
  <si>
    <t>房价(m²)</t>
    <phoneticPr fontId="1" type="noConversion"/>
  </si>
  <si>
    <t>茂名</t>
    <phoneticPr fontId="1" type="noConversion"/>
  </si>
  <si>
    <t>30年宜居年限，平均每月金额</t>
    <phoneticPr fontId="1" type="noConversion"/>
  </si>
  <si>
    <r>
      <t>注：填写</t>
    </r>
    <r>
      <rPr>
        <b/>
        <sz val="18"/>
        <color rgb="FF0070C0"/>
        <rFont val="等线"/>
        <family val="3"/>
        <charset val="134"/>
        <scheme val="minor"/>
      </rPr>
      <t>蓝底</t>
    </r>
    <r>
      <rPr>
        <sz val="18"/>
        <color theme="1"/>
        <rFont val="等线"/>
        <family val="3"/>
        <charset val="134"/>
        <scheme val="minor"/>
      </rPr>
      <t>的表格即可</t>
    </r>
    <phoneticPr fontId="1" type="noConversion"/>
  </si>
  <si>
    <t>公积金所在城市 及 房价</t>
    <phoneticPr fontId="1" type="noConversion"/>
  </si>
  <si>
    <t>其他意向城市 及 房价</t>
    <phoneticPr fontId="1" type="noConversion"/>
  </si>
  <si>
    <t>商业贷款1</t>
    <phoneticPr fontId="1" type="noConversion"/>
  </si>
  <si>
    <t>商业贷款2</t>
    <phoneticPr fontId="1" type="noConversion"/>
  </si>
  <si>
    <t>公积金贷款+商业贷款1（本地买房）</t>
    <phoneticPr fontId="1" type="noConversion"/>
  </si>
  <si>
    <t>公积金贷款+商业贷款1（异地买房）</t>
    <phoneticPr fontId="1" type="noConversion"/>
  </si>
  <si>
    <r>
      <t>注：1）本表格制作时间：</t>
    </r>
    <r>
      <rPr>
        <b/>
        <sz val="11"/>
        <color theme="1"/>
        <rFont val="等线"/>
        <family val="3"/>
        <charset val="134"/>
        <scheme val="minor"/>
      </rPr>
      <t>2026-01-15</t>
    </r>
    <r>
      <rPr>
        <sz val="11"/>
        <color theme="1"/>
        <rFont val="等线"/>
        <family val="3"/>
        <charset val="134"/>
        <scheme val="minor"/>
      </rPr>
      <t>，</t>
    </r>
    <r>
      <rPr>
        <b/>
        <sz val="11"/>
        <color rgb="FFFF0000"/>
        <rFont val="等线"/>
        <family val="3"/>
        <charset val="134"/>
        <scheme val="minor"/>
      </rPr>
      <t>具有时效性</t>
    </r>
    <r>
      <rPr>
        <sz val="11"/>
        <color theme="1"/>
        <rFont val="等线"/>
        <family val="3"/>
        <charset val="134"/>
        <scheme val="minor"/>
      </rPr>
      <t>，请自行判别
2）本表格不考虑通货膨胀等其他因素
3）本表格只有</t>
    </r>
    <r>
      <rPr>
        <b/>
        <sz val="11"/>
        <color rgb="FFFF0000"/>
        <rFont val="等线"/>
        <family val="3"/>
        <charset val="134"/>
        <scheme val="minor"/>
      </rPr>
      <t>等额本息</t>
    </r>
    <r>
      <rPr>
        <sz val="11"/>
        <color theme="1"/>
        <rFont val="等线"/>
        <family val="3"/>
        <charset val="134"/>
        <scheme val="minor"/>
      </rPr>
      <t>的计算公式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</si>
  <si>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一共支付的利息金额</t>
    </r>
    <r>
      <rPr>
        <sz val="11"/>
        <color theme="1"/>
        <rFont val="等线"/>
        <family val="3"/>
        <charset val="134"/>
        <scheme val="minor"/>
      </rPr>
      <t xml:space="preserve">
（等额本息）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</si>
  <si>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月供金额</t>
    </r>
    <r>
      <rPr>
        <sz val="11"/>
        <color theme="1"/>
        <rFont val="等线"/>
        <family val="3"/>
        <charset val="134"/>
        <scheme val="minor"/>
      </rPr>
      <t xml:space="preserve">
（等额本息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</si>
  <si>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实际支出</t>
    </r>
    <r>
      <rPr>
        <b/>
        <sz val="11"/>
        <color theme="1"/>
        <rFont val="等线"/>
        <family val="3"/>
        <charset val="134"/>
        <scheme val="minor"/>
      </rPr>
      <t xml:space="preserve">
</t>
    </r>
    <r>
      <rPr>
        <sz val="11"/>
        <color theme="1"/>
        <rFont val="等线"/>
        <family val="3"/>
        <charset val="134"/>
        <scheme val="minor"/>
      </rPr>
      <t>(不含其他支出)</t>
    </r>
    <phoneticPr fontId="1" type="noConversion"/>
  </si>
  <si>
    <t>其他支出-契税</t>
    <phoneticPr fontId="1" type="noConversion"/>
  </si>
  <si>
    <t>商业贷款1 年利率</t>
    <phoneticPr fontId="1" type="noConversion"/>
  </si>
  <si>
    <t>商业贷款2(对照组) 年利率</t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</si>
  <si>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实际支出</t>
    </r>
    <r>
      <rPr>
        <b/>
        <sz val="11"/>
        <color theme="1"/>
        <rFont val="等线"/>
        <family val="3"/>
        <charset val="134"/>
        <scheme val="minor"/>
      </rPr>
      <t xml:space="preserve">
</t>
    </r>
    <r>
      <rPr>
        <sz val="11"/>
        <color theme="1"/>
        <rFont val="等线"/>
        <family val="3"/>
        <charset val="134"/>
        <scheme val="minor"/>
      </rPr>
      <t>(含其他支出)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</si>
  <si>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其他支出1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FF0000"/>
        <rFont val="等线"/>
        <family val="3"/>
        <charset val="134"/>
        <scheme val="minor"/>
      </rPr>
      <t>(手动填写)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</si>
  <si>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其他支出2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FF0000"/>
        <rFont val="等线"/>
        <family val="3"/>
        <charset val="134"/>
        <scheme val="minor"/>
      </rPr>
      <t>(手动填写)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</si>
  <si>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其他支出3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FF0000"/>
        <rFont val="等线"/>
        <family val="3"/>
        <charset val="134"/>
        <scheme val="minor"/>
      </rPr>
      <t>(手动填写)</t>
    </r>
    <phoneticPr fontId="1" type="noConversion"/>
  </si>
  <si>
    <t xml:space="preserve">                             贷款组合
统计结果</t>
    <phoneticPr fontId="1" type="noConversion"/>
  </si>
  <si>
    <t xml:space="preserve">               
              买房参数
   计算结果</t>
    <phoneticPr fontId="1" type="noConversion"/>
  </si>
  <si>
    <r>
      <t xml:space="preserve">贷款买房(首套&amp;一手)真实价格计算器
</t>
    </r>
    <r>
      <rPr>
        <b/>
        <sz val="12"/>
        <color rgb="FFFF0000"/>
        <rFont val="等线"/>
        <family val="3"/>
        <charset val="134"/>
        <scheme val="minor"/>
      </rPr>
      <t>●单位：元●还款方式：等额本息●制作：ZJHCOFI●开源地址：https://github.com/ZJHCOFI/life-lock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</si>
</sst>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0_);[Red]\(#,##0.00\)"/>
    <numFmt numFmtId="177" formatCode="0.00_);[Red]\(0.00\)"/>
    <numFmt numFmtId="178" formatCode="&quot;¥&quot;#,##0.00_);[Red]\(&quot;¥&quot;#,##0.00\)"/>
  </numFmts>
  <fonts count="1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b/>
      <sz val="12"/>
      <name val="等线"/>
      <family val="3"/>
      <charset val="134"/>
      <scheme val="minor"/>
    </font>
    <font>
      <sz val="18"/>
      <color theme="1"/>
      <name val="等线"/>
      <family val="3"/>
      <charset val="134"/>
      <scheme val="minor"/>
    </font>
    <font>
      <b/>
      <sz val="18"/>
      <color rgb="FF0070C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12"/>
      <color rgb="FFFF0000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auto="1"/>
      </diagonal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 style="thin">
        <color auto="1"/>
      </diagonal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 diagonalDown="1"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 style="thin">
        <color auto="1"/>
      </diagonal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auto="1"/>
      </diagonal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auto="1"/>
      </diagonal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auto="1"/>
      </diagonal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 diagonalDown="1"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/>
      <bottom/>
      <diagonal style="thin">
        <color indexed="64"/>
      </diagonal>
    </border>
    <border diagonalDown="1">
      <left style="thin">
        <color indexed="64"/>
      </left>
      <right style="thin">
        <color indexed="64"/>
      </right>
      <top/>
      <bottom style="medium">
        <color indexed="64"/>
      </bottom>
      <diagonal style="thin">
        <color indexed="64"/>
      </diagonal>
    </border>
  </borders>
  <cellStyleXfs count="1">
    <xf numFmtId="0" fontId="0" fillId="0" borderId="0"/>
  </cellStyleXfs>
  <cellXfs count="17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0" fontId="0" fillId="0" borderId="15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76" fontId="0" fillId="3" borderId="1" xfId="0" applyNumberFormat="1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top" wrapText="1"/>
    </xf>
    <xf numFmtId="176" fontId="0" fillId="0" borderId="1" xfId="0" applyNumberFormat="1" applyBorder="1" applyAlignment="1">
      <alignment vertical="center" wrapText="1"/>
    </xf>
    <xf numFmtId="10" fontId="0" fillId="2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76" fontId="0" fillId="4" borderId="1" xfId="0" applyNumberFormat="1" applyFill="1" applyBorder="1" applyAlignment="1">
      <alignment horizontal="center" vertical="center" wrapText="1"/>
    </xf>
    <xf numFmtId="10" fontId="0" fillId="4" borderId="1" xfId="0" applyNumberFormat="1" applyFill="1" applyBorder="1" applyAlignment="1">
      <alignment horizontal="center" vertical="center" wrapText="1"/>
    </xf>
    <xf numFmtId="176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center" vertical="center"/>
    </xf>
    <xf numFmtId="10" fontId="0" fillId="5" borderId="1" xfId="0" applyNumberFormat="1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/>
    </xf>
    <xf numFmtId="176" fontId="0" fillId="3" borderId="8" xfId="0" applyNumberFormat="1" applyFill="1" applyBorder="1" applyAlignment="1">
      <alignment horizontal="center" vertical="center"/>
    </xf>
    <xf numFmtId="10" fontId="0" fillId="3" borderId="8" xfId="0" applyNumberFormat="1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0" fontId="2" fillId="6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 wrapText="1"/>
    </xf>
    <xf numFmtId="0" fontId="0" fillId="4" borderId="17" xfId="0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 wrapText="1"/>
    </xf>
    <xf numFmtId="0" fontId="0" fillId="5" borderId="17" xfId="0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6" fillId="0" borderId="22" xfId="0" applyFont="1" applyBorder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6" fillId="3" borderId="16" xfId="0" applyFont="1" applyFill="1" applyBorder="1" applyAlignment="1">
      <alignment horizontal="center" vertical="center" wrapText="1"/>
    </xf>
    <xf numFmtId="0" fontId="0" fillId="3" borderId="17" xfId="0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23" xfId="0" applyFont="1" applyFill="1" applyBorder="1" applyAlignment="1">
      <alignment horizontal="center" vertical="center"/>
    </xf>
    <xf numFmtId="0" fontId="2" fillId="7" borderId="17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 wrapText="1"/>
    </xf>
    <xf numFmtId="0" fontId="9" fillId="8" borderId="21" xfId="0" applyFont="1" applyFill="1" applyBorder="1" applyAlignment="1">
      <alignment horizontal="center" vertical="center" wrapText="1"/>
    </xf>
    <xf numFmtId="0" fontId="7" fillId="8" borderId="1" xfId="0" applyFont="1" applyFill="1" applyBorder="1"/>
    <xf numFmtId="0" fontId="7" fillId="8" borderId="1" xfId="0" applyFont="1" applyFill="1" applyBorder="1" applyAlignment="1">
      <alignment horizontal="center" vertical="center"/>
    </xf>
    <xf numFmtId="0" fontId="7" fillId="8" borderId="10" xfId="0" applyFont="1" applyFill="1" applyBorder="1" applyAlignment="1">
      <alignment horizontal="center" vertical="center" wrapText="1"/>
    </xf>
    <xf numFmtId="0" fontId="7" fillId="8" borderId="3" xfId="0" applyFont="1" applyFill="1" applyBorder="1"/>
    <xf numFmtId="0" fontId="7" fillId="8" borderId="3" xfId="0" applyFont="1" applyFill="1" applyBorder="1" applyAlignment="1">
      <alignment horizontal="center" vertical="center"/>
    </xf>
    <xf numFmtId="0" fontId="7" fillId="9" borderId="1" xfId="0" applyFont="1" applyFill="1" applyBorder="1"/>
    <xf numFmtId="0" fontId="7" fillId="9" borderId="1" xfId="0" applyFont="1" applyFill="1" applyBorder="1" applyAlignment="1">
      <alignment horizontal="center" vertical="center"/>
    </xf>
    <xf numFmtId="0" fontId="9" fillId="9" borderId="17" xfId="0" applyFont="1" applyFill="1" applyBorder="1" applyAlignment="1">
      <alignment horizontal="center" vertical="center" wrapText="1"/>
    </xf>
    <xf numFmtId="0" fontId="7" fillId="9" borderId="17" xfId="0" applyFont="1" applyFill="1" applyBorder="1" applyAlignment="1">
      <alignment horizontal="center" vertical="center" wrapText="1"/>
    </xf>
    <xf numFmtId="0" fontId="7" fillId="9" borderId="18" xfId="0" applyFont="1" applyFill="1" applyBorder="1" applyAlignment="1">
      <alignment horizontal="center" vertical="center" wrapText="1"/>
    </xf>
    <xf numFmtId="0" fontId="7" fillId="9" borderId="15" xfId="0" applyFont="1" applyFill="1" applyBorder="1"/>
    <xf numFmtId="0" fontId="7" fillId="9" borderId="15" xfId="0" applyFont="1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1" borderId="18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top" wrapText="1"/>
    </xf>
    <xf numFmtId="0" fontId="10" fillId="0" borderId="1" xfId="0" applyFont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78" fontId="0" fillId="2" borderId="4" xfId="0" applyNumberFormat="1" applyFill="1" applyBorder="1" applyAlignment="1">
      <alignment horizontal="center" vertical="center"/>
    </xf>
    <xf numFmtId="178" fontId="6" fillId="2" borderId="4" xfId="0" applyNumberFormat="1" applyFont="1" applyFill="1" applyBorder="1" applyAlignment="1">
      <alignment horizontal="center" vertical="center"/>
    </xf>
    <xf numFmtId="177" fontId="4" fillId="2" borderId="1" xfId="0" applyNumberFormat="1" applyFont="1" applyFill="1" applyBorder="1" applyAlignment="1">
      <alignment horizontal="center" vertical="center" wrapText="1"/>
    </xf>
    <xf numFmtId="178" fontId="0" fillId="10" borderId="2" xfId="0" applyNumberFormat="1" applyFill="1" applyBorder="1" applyAlignment="1">
      <alignment horizontal="center" vertical="center"/>
    </xf>
    <xf numFmtId="178" fontId="0" fillId="10" borderId="11" xfId="0" applyNumberFormat="1" applyFill="1" applyBorder="1" applyAlignment="1">
      <alignment horizontal="center" vertical="center"/>
    </xf>
    <xf numFmtId="178" fontId="0" fillId="11" borderId="1" xfId="0" applyNumberFormat="1" applyFill="1" applyBorder="1" applyAlignment="1">
      <alignment horizontal="center" vertical="center"/>
    </xf>
    <xf numFmtId="178" fontId="0" fillId="11" borderId="19" xfId="0" applyNumberFormat="1" applyFill="1" applyBorder="1" applyAlignment="1">
      <alignment horizontal="center" vertical="center"/>
    </xf>
    <xf numFmtId="178" fontId="0" fillId="11" borderId="2" xfId="0" applyNumberFormat="1" applyFill="1" applyBorder="1" applyAlignment="1">
      <alignment horizontal="center" vertical="center"/>
    </xf>
    <xf numFmtId="178" fontId="0" fillId="11" borderId="11" xfId="0" applyNumberForma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center" vertical="center"/>
    </xf>
    <xf numFmtId="178" fontId="0" fillId="3" borderId="2" xfId="0" applyNumberFormat="1" applyFill="1" applyBorder="1" applyAlignment="1">
      <alignment horizontal="center" vertical="center"/>
    </xf>
    <xf numFmtId="178" fontId="0" fillId="3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9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11" xfId="0" applyNumberFormat="1" applyFill="1" applyBorder="1" applyAlignment="1">
      <alignment horizontal="center" vertical="center"/>
    </xf>
    <xf numFmtId="178" fontId="0" fillId="5" borderId="1" xfId="0" applyNumberFormat="1" applyFill="1" applyBorder="1" applyAlignment="1">
      <alignment horizontal="center" vertical="center"/>
    </xf>
    <xf numFmtId="178" fontId="0" fillId="5" borderId="19" xfId="0" applyNumberFormat="1" applyFill="1" applyBorder="1" applyAlignment="1">
      <alignment horizontal="center" vertical="center"/>
    </xf>
    <xf numFmtId="178" fontId="0" fillId="5" borderId="2" xfId="0" applyNumberFormat="1" applyFill="1" applyBorder="1" applyAlignment="1">
      <alignment horizontal="center" vertical="center"/>
    </xf>
    <xf numFmtId="178" fontId="0" fillId="5" borderId="11" xfId="0" applyNumberFormat="1" applyFill="1" applyBorder="1" applyAlignment="1">
      <alignment horizontal="center" vertical="center"/>
    </xf>
    <xf numFmtId="178" fontId="0" fillId="2" borderId="5" xfId="0" applyNumberFormat="1" applyFill="1" applyBorder="1" applyAlignment="1">
      <alignment horizontal="center" vertical="center"/>
    </xf>
    <xf numFmtId="178" fontId="0" fillId="2" borderId="22" xfId="0" applyNumberFormat="1" applyFill="1" applyBorder="1" applyAlignment="1">
      <alignment horizontal="center" vertical="center"/>
    </xf>
    <xf numFmtId="178" fontId="0" fillId="2" borderId="24" xfId="0" applyNumberFormat="1" applyFill="1" applyBorder="1" applyAlignment="1">
      <alignment horizontal="center" vertical="center"/>
    </xf>
    <xf numFmtId="178" fontId="2" fillId="6" borderId="1" xfId="0" applyNumberFormat="1" applyFont="1" applyFill="1" applyBorder="1" applyAlignment="1">
      <alignment horizontal="center" vertical="center"/>
    </xf>
    <xf numFmtId="178" fontId="2" fillId="6" borderId="2" xfId="0" applyNumberFormat="1" applyFont="1" applyFill="1" applyBorder="1" applyAlignment="1">
      <alignment horizontal="center" vertical="center"/>
    </xf>
    <xf numFmtId="178" fontId="2" fillId="6" borderId="11" xfId="0" applyNumberFormat="1" applyFont="1" applyFill="1" applyBorder="1" applyAlignment="1">
      <alignment horizontal="center" vertical="center"/>
    </xf>
    <xf numFmtId="178" fontId="2" fillId="7" borderId="1" xfId="0" applyNumberFormat="1" applyFont="1" applyFill="1" applyBorder="1" applyAlignment="1">
      <alignment horizontal="center" vertical="center"/>
    </xf>
    <xf numFmtId="178" fontId="2" fillId="7" borderId="19" xfId="0" applyNumberFormat="1" applyFont="1" applyFill="1" applyBorder="1" applyAlignment="1">
      <alignment horizontal="center" vertical="center"/>
    </xf>
    <xf numFmtId="178" fontId="2" fillId="7" borderId="2" xfId="0" applyNumberFormat="1" applyFont="1" applyFill="1" applyBorder="1" applyAlignment="1">
      <alignment horizontal="center" vertical="center"/>
    </xf>
    <xf numFmtId="178" fontId="2" fillId="7" borderId="11" xfId="0" applyNumberFormat="1" applyFont="1" applyFill="1" applyBorder="1" applyAlignment="1">
      <alignment horizontal="center" vertical="center"/>
    </xf>
    <xf numFmtId="178" fontId="7" fillId="8" borderId="1" xfId="0" applyNumberFormat="1" applyFont="1" applyFill="1" applyBorder="1" applyAlignment="1">
      <alignment horizontal="center" vertical="center"/>
    </xf>
    <xf numFmtId="178" fontId="7" fillId="8" borderId="19" xfId="0" applyNumberFormat="1" applyFont="1" applyFill="1" applyBorder="1" applyAlignment="1">
      <alignment horizontal="center" vertical="center"/>
    </xf>
    <xf numFmtId="178" fontId="7" fillId="8" borderId="2" xfId="0" applyNumberFormat="1" applyFont="1" applyFill="1" applyBorder="1" applyAlignment="1">
      <alignment horizontal="center" vertical="center"/>
    </xf>
    <xf numFmtId="178" fontId="7" fillId="8" borderId="11" xfId="0" applyNumberFormat="1" applyFont="1" applyFill="1" applyBorder="1" applyAlignment="1">
      <alignment horizontal="center" vertical="center"/>
    </xf>
    <xf numFmtId="178" fontId="7" fillId="8" borderId="3" xfId="0" applyNumberFormat="1" applyFont="1" applyFill="1" applyBorder="1" applyAlignment="1">
      <alignment horizontal="center" vertical="center"/>
    </xf>
    <xf numFmtId="178" fontId="7" fillId="8" borderId="25" xfId="0" applyNumberFormat="1" applyFont="1" applyFill="1" applyBorder="1" applyAlignment="1">
      <alignment horizontal="center" vertical="center"/>
    </xf>
    <xf numFmtId="178" fontId="7" fillId="8" borderId="26" xfId="0" applyNumberFormat="1" applyFont="1" applyFill="1" applyBorder="1" applyAlignment="1">
      <alignment horizontal="center" vertical="center"/>
    </xf>
    <xf numFmtId="178" fontId="7" fillId="9" borderId="1" xfId="0" applyNumberFormat="1" applyFont="1" applyFill="1" applyBorder="1" applyAlignment="1">
      <alignment horizontal="center" vertical="center"/>
    </xf>
    <xf numFmtId="178" fontId="7" fillId="9" borderId="19" xfId="0" applyNumberFormat="1" applyFont="1" applyFill="1" applyBorder="1" applyAlignment="1">
      <alignment horizontal="center" vertical="center"/>
    </xf>
    <xf numFmtId="178" fontId="7" fillId="9" borderId="2" xfId="0" applyNumberFormat="1" applyFont="1" applyFill="1" applyBorder="1" applyAlignment="1">
      <alignment horizontal="center" vertical="center"/>
    </xf>
    <xf numFmtId="178" fontId="7" fillId="9" borderId="11" xfId="0" applyNumberFormat="1" applyFont="1" applyFill="1" applyBorder="1" applyAlignment="1">
      <alignment horizontal="center" vertical="center"/>
    </xf>
    <xf numFmtId="178" fontId="7" fillId="9" borderId="15" xfId="0" applyNumberFormat="1" applyFont="1" applyFill="1" applyBorder="1" applyAlignment="1">
      <alignment horizontal="center" vertical="center"/>
    </xf>
    <xf numFmtId="178" fontId="7" fillId="9" borderId="13" xfId="0" applyNumberFormat="1" applyFont="1" applyFill="1" applyBorder="1" applyAlignment="1">
      <alignment horizontal="center" vertical="center"/>
    </xf>
    <xf numFmtId="178" fontId="7" fillId="9" borderId="14" xfId="0" applyNumberFormat="1" applyFont="1" applyFill="1" applyBorder="1" applyAlignment="1">
      <alignment horizontal="center" vertical="center"/>
    </xf>
    <xf numFmtId="178" fontId="0" fillId="10" borderId="7" xfId="0" applyNumberFormat="1" applyFill="1" applyBorder="1" applyAlignment="1">
      <alignment horizontal="center" vertical="center"/>
    </xf>
    <xf numFmtId="178" fontId="0" fillId="10" borderId="8" xfId="0" applyNumberFormat="1" applyFill="1" applyBorder="1" applyAlignment="1">
      <alignment horizontal="center" vertical="center"/>
    </xf>
    <xf numFmtId="178" fontId="0" fillId="10" borderId="9" xfId="0" applyNumberFormat="1" applyFill="1" applyBorder="1" applyAlignment="1">
      <alignment horizontal="center" vertical="center"/>
    </xf>
    <xf numFmtId="178" fontId="0" fillId="11" borderId="15" xfId="0" applyNumberFormat="1" applyFill="1" applyBorder="1" applyAlignment="1">
      <alignment horizontal="center" vertical="center"/>
    </xf>
    <xf numFmtId="178" fontId="0" fillId="11" borderId="13" xfId="0" applyNumberFormat="1" applyFill="1" applyBorder="1" applyAlignment="1">
      <alignment horizontal="center" vertical="center"/>
    </xf>
    <xf numFmtId="178" fontId="0" fillId="11" borderId="14" xfId="0" applyNumberFormat="1" applyFill="1" applyBorder="1" applyAlignment="1">
      <alignment horizontal="center" vertical="center"/>
    </xf>
    <xf numFmtId="178" fontId="0" fillId="3" borderId="8" xfId="0" applyNumberFormat="1" applyFill="1" applyBorder="1" applyAlignment="1">
      <alignment horizontal="center" vertical="center"/>
    </xf>
    <xf numFmtId="178" fontId="0" fillId="3" borderId="9" xfId="0" applyNumberForma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0" fontId="0" fillId="0" borderId="15" xfId="0" applyNumberFormat="1" applyBorder="1" applyAlignment="1">
      <alignment horizontal="center" vertical="center" wrapText="1"/>
    </xf>
    <xf numFmtId="178" fontId="0" fillId="2" borderId="30" xfId="0" applyNumberFormat="1" applyFill="1" applyBorder="1" applyAlignment="1">
      <alignment horizontal="center" vertical="center"/>
    </xf>
    <xf numFmtId="178" fontId="0" fillId="2" borderId="31" xfId="0" applyNumberFormat="1" applyFill="1" applyBorder="1" applyAlignment="1">
      <alignment horizontal="center" vertical="center"/>
    </xf>
    <xf numFmtId="178" fontId="0" fillId="2" borderId="32" xfId="0" applyNumberFormat="1" applyFill="1" applyBorder="1" applyAlignment="1">
      <alignment horizontal="center" vertical="center"/>
    </xf>
    <xf numFmtId="0" fontId="2" fillId="6" borderId="27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/>
    </xf>
    <xf numFmtId="10" fontId="2" fillId="6" borderId="8" xfId="0" applyNumberFormat="1" applyFont="1" applyFill="1" applyBorder="1" applyAlignment="1">
      <alignment horizontal="center" vertical="center" wrapText="1"/>
    </xf>
    <xf numFmtId="178" fontId="2" fillId="6" borderId="8" xfId="0" applyNumberFormat="1" applyFont="1" applyFill="1" applyBorder="1" applyAlignment="1">
      <alignment horizontal="center" vertical="center"/>
    </xf>
    <xf numFmtId="178" fontId="2" fillId="6" borderId="9" xfId="0" applyNumberFormat="1" applyFont="1" applyFill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10" fontId="0" fillId="5" borderId="15" xfId="0" applyNumberFormat="1" applyFill="1" applyBorder="1" applyAlignment="1">
      <alignment horizontal="center" vertical="center" wrapText="1"/>
    </xf>
    <xf numFmtId="178" fontId="0" fillId="5" borderId="15" xfId="0" applyNumberFormat="1" applyFill="1" applyBorder="1" applyAlignment="1">
      <alignment horizontal="center" vertical="center"/>
    </xf>
    <xf numFmtId="178" fontId="0" fillId="5" borderId="13" xfId="0" applyNumberFormat="1" applyFill="1" applyBorder="1" applyAlignment="1">
      <alignment horizontal="center" vertical="center"/>
    </xf>
    <xf numFmtId="178" fontId="0" fillId="5" borderId="14" xfId="0" applyNumberFormat="1" applyFill="1" applyBorder="1" applyAlignment="1">
      <alignment horizontal="center" vertical="center"/>
    </xf>
    <xf numFmtId="0" fontId="4" fillId="0" borderId="23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/>
    </xf>
    <xf numFmtId="10" fontId="0" fillId="0" borderId="4" xfId="0" applyNumberFormat="1" applyFill="1" applyBorder="1" applyAlignment="1">
      <alignment horizontal="center" vertical="center" wrapText="1"/>
    </xf>
    <xf numFmtId="178" fontId="0" fillId="0" borderId="4" xfId="0" applyNumberFormat="1" applyFill="1" applyBorder="1" applyAlignment="1">
      <alignment horizontal="center" vertical="center"/>
    </xf>
    <xf numFmtId="178" fontId="0" fillId="0" borderId="33" xfId="0" applyNumberFormat="1" applyFill="1" applyBorder="1" applyAlignment="1">
      <alignment horizontal="center" vertical="center"/>
    </xf>
    <xf numFmtId="0" fontId="0" fillId="0" borderId="1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0" fontId="0" fillId="0" borderId="1" xfId="0" applyNumberFormat="1" applyFill="1" applyBorder="1" applyAlignment="1">
      <alignment horizontal="center" vertical="center" wrapText="1"/>
    </xf>
    <xf numFmtId="178" fontId="0" fillId="0" borderId="1" xfId="0" applyNumberForma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left" vertical="top" wrapText="1"/>
    </xf>
    <xf numFmtId="9" fontId="4" fillId="2" borderId="5" xfId="0" applyNumberFormat="1" applyFont="1" applyFill="1" applyBorder="1" applyAlignment="1">
      <alignment horizontal="center" vertical="center" wrapText="1"/>
    </xf>
    <xf numFmtId="9" fontId="4" fillId="2" borderId="22" xfId="0" applyNumberFormat="1" applyFont="1" applyFill="1" applyBorder="1" applyAlignment="1">
      <alignment horizontal="center" vertical="center" wrapText="1"/>
    </xf>
    <xf numFmtId="9" fontId="4" fillId="2" borderId="6" xfId="0" applyNumberFormat="1" applyFont="1" applyFill="1" applyBorder="1" applyAlignment="1">
      <alignment horizontal="center" vertical="center" wrapText="1"/>
    </xf>
    <xf numFmtId="178" fontId="0" fillId="0" borderId="1" xfId="0" applyNumberFormat="1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178" fontId="0" fillId="0" borderId="22" xfId="0" applyNumberFormat="1" applyBorder="1" applyAlignment="1">
      <alignment horizontal="center" vertical="center"/>
    </xf>
    <xf numFmtId="178" fontId="0" fillId="0" borderId="6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30" xfId="0" applyNumberFormat="1" applyBorder="1" applyAlignment="1">
      <alignment horizontal="center" vertical="center"/>
    </xf>
    <xf numFmtId="178" fontId="0" fillId="0" borderId="31" xfId="0" applyNumberFormat="1" applyBorder="1" applyAlignment="1">
      <alignment horizontal="center" vertical="center"/>
    </xf>
    <xf numFmtId="178" fontId="0" fillId="0" borderId="20" xfId="0" applyNumberForma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left" vertical="top" wrapText="1"/>
    </xf>
    <xf numFmtId="0" fontId="5" fillId="0" borderId="37" xfId="0" applyFont="1" applyBorder="1" applyAlignment="1">
      <alignment horizontal="left" vertical="top" wrapText="1"/>
    </xf>
    <xf numFmtId="0" fontId="5" fillId="0" borderId="38" xfId="0" applyFont="1" applyBorder="1" applyAlignment="1">
      <alignment horizontal="left" vertical="top" wrapText="1"/>
    </xf>
    <xf numFmtId="177" fontId="15" fillId="0" borderId="1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CCCC"/>
      <color rgb="FFFF33CC"/>
      <color rgb="FFFF66FF"/>
      <color rgb="FFFF99FF"/>
      <color rgb="FFFF6699"/>
      <color rgb="FFFF3399"/>
      <color rgb="FFFFCCFF"/>
      <color rgb="FFFF99CC"/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dministrator" id="{F1FF34E4-A910-42A3-B1F0-2AC838CF81E1}" userId="Administrator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3" dT="2026-01-15T04:51:43.20" personId="{F1FF34E4-A910-42A3-B1F0-2AC838CF81E1}" id="{EACA7E92-1893-4FA3-8E21-54B4B24A3520}">
    <text>首套住房，若面积在 140 平米（含）以下，契税征收比例为 1%；若面积超过 140 平米，契税征收比例为 1.5%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6"/>
  <sheetViews>
    <sheetView showGridLines="0" tabSelected="1" zoomScaleNormal="100" workbookViewId="0">
      <selection sqref="A1:O1"/>
    </sheetView>
  </sheetViews>
  <sheetFormatPr defaultRowHeight="13.8" x14ac:dyDescent="0.25"/>
  <cols>
    <col min="1" max="1" width="33.33203125" bestFit="1" customWidth="1"/>
    <col min="2" max="2" width="18.6640625" hidden="1" customWidth="1"/>
    <col min="3" max="10" width="13.44140625" hidden="1" customWidth="1"/>
    <col min="11" max="11" width="10.44140625" bestFit="1" customWidth="1"/>
    <col min="12" max="12" width="31.44140625" bestFit="1" customWidth="1"/>
    <col min="13" max="13" width="16.5546875" customWidth="1"/>
    <col min="14" max="15" width="40.33203125" bestFit="1" customWidth="1"/>
  </cols>
  <sheetData>
    <row r="1" spans="1:22" ht="42" customHeight="1" x14ac:dyDescent="0.25">
      <c r="A1" s="32" t="s">
        <v>42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</row>
    <row r="2" spans="1:22" ht="45" customHeight="1" x14ac:dyDescent="0.25">
      <c r="A2" s="76" t="s">
        <v>29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3"/>
      <c r="M2" s="77" t="s">
        <v>22</v>
      </c>
      <c r="N2" s="77"/>
      <c r="O2" s="77"/>
    </row>
    <row r="3" spans="1:22" ht="15.75" customHeight="1" x14ac:dyDescent="0.25">
      <c r="A3" s="173" t="s">
        <v>41</v>
      </c>
      <c r="B3" s="7"/>
      <c r="C3" s="7"/>
      <c r="D3" s="7"/>
      <c r="E3" s="7"/>
      <c r="F3" s="7"/>
      <c r="G3" s="7"/>
      <c r="H3" s="7"/>
      <c r="I3" s="7"/>
      <c r="J3" s="7"/>
      <c r="K3" s="39" t="s">
        <v>1</v>
      </c>
      <c r="L3" s="39"/>
      <c r="M3" s="4" t="s">
        <v>13</v>
      </c>
      <c r="N3" s="38">
        <v>110</v>
      </c>
      <c r="O3" s="38"/>
      <c r="P3" s="3"/>
      <c r="Q3" s="3"/>
      <c r="R3" s="3"/>
      <c r="S3" s="3"/>
      <c r="T3" s="3"/>
      <c r="U3" s="1"/>
      <c r="V3" s="1"/>
    </row>
    <row r="4" spans="1:22" ht="15.6" x14ac:dyDescent="0.25">
      <c r="A4" s="174"/>
      <c r="B4" s="7"/>
      <c r="C4" s="7"/>
      <c r="D4" s="7"/>
      <c r="E4" s="7"/>
      <c r="F4" s="7"/>
      <c r="G4" s="7"/>
      <c r="H4" s="7"/>
      <c r="I4" s="7"/>
      <c r="J4" s="7"/>
      <c r="K4" s="39"/>
      <c r="L4" s="39"/>
      <c r="M4" s="4" t="s">
        <v>14</v>
      </c>
      <c r="N4" s="38">
        <v>20</v>
      </c>
      <c r="O4" s="38"/>
      <c r="P4" s="3"/>
      <c r="Q4" s="3"/>
      <c r="R4" s="3"/>
      <c r="S4" s="3"/>
      <c r="T4" s="3"/>
      <c r="U4" s="1"/>
      <c r="V4" s="1"/>
    </row>
    <row r="5" spans="1:22" ht="17.399999999999999" x14ac:dyDescent="0.25">
      <c r="A5" s="174"/>
      <c r="B5" s="7"/>
      <c r="C5" s="7"/>
      <c r="D5" s="7"/>
      <c r="E5" s="7"/>
      <c r="F5" s="7"/>
      <c r="G5" s="7"/>
      <c r="H5" s="7"/>
      <c r="I5" s="7"/>
      <c r="J5" s="7"/>
      <c r="K5" s="39"/>
      <c r="L5" s="39"/>
      <c r="M5" s="4" t="s">
        <v>15</v>
      </c>
      <c r="N5" s="176">
        <f>N3-N4</f>
        <v>90</v>
      </c>
      <c r="O5" s="176"/>
      <c r="P5" s="3"/>
      <c r="Q5" s="3"/>
      <c r="R5" s="3"/>
      <c r="S5" s="3"/>
      <c r="T5" s="3"/>
      <c r="U5" s="1"/>
      <c r="V5" s="1"/>
    </row>
    <row r="6" spans="1:22" ht="15.6" customHeight="1" x14ac:dyDescent="0.25">
      <c r="A6" s="174"/>
      <c r="B6" s="7"/>
      <c r="C6" s="7"/>
      <c r="D6" s="7"/>
      <c r="E6" s="7"/>
      <c r="F6" s="7"/>
      <c r="G6" s="7"/>
      <c r="H6" s="7"/>
      <c r="I6" s="7"/>
      <c r="J6" s="7"/>
      <c r="K6" s="39" t="s">
        <v>16</v>
      </c>
      <c r="L6" s="39"/>
      <c r="M6" s="39"/>
      <c r="N6" s="81">
        <v>30</v>
      </c>
      <c r="O6" s="81"/>
      <c r="P6" s="3"/>
      <c r="Q6" s="3"/>
      <c r="R6" s="3"/>
      <c r="S6" s="3"/>
      <c r="T6" s="3"/>
      <c r="U6" s="1"/>
      <c r="V6" s="1"/>
    </row>
    <row r="7" spans="1:22" ht="15.75" customHeight="1" x14ac:dyDescent="0.25">
      <c r="A7" s="174"/>
      <c r="B7" s="7"/>
      <c r="C7" s="7"/>
      <c r="D7" s="7"/>
      <c r="E7" s="7"/>
      <c r="F7" s="7"/>
      <c r="G7" s="7"/>
      <c r="H7" s="7"/>
      <c r="I7" s="7"/>
      <c r="J7" s="7"/>
      <c r="K7" s="39" t="s">
        <v>19</v>
      </c>
      <c r="L7" s="14" t="s">
        <v>23</v>
      </c>
      <c r="M7" s="9" t="s">
        <v>4</v>
      </c>
      <c r="N7" s="78">
        <v>22000</v>
      </c>
      <c r="O7" s="78"/>
      <c r="P7" s="2"/>
      <c r="Q7" s="3"/>
      <c r="R7" s="3"/>
      <c r="S7" s="3"/>
      <c r="T7" s="3"/>
      <c r="U7" s="1"/>
      <c r="V7" s="1"/>
    </row>
    <row r="8" spans="1:22" ht="15.75" customHeight="1" x14ac:dyDescent="0.25">
      <c r="A8" s="174"/>
      <c r="B8" s="7"/>
      <c r="C8" s="7"/>
      <c r="D8" s="7"/>
      <c r="E8" s="7"/>
      <c r="F8" s="7"/>
      <c r="G8" s="7"/>
      <c r="H8" s="7"/>
      <c r="I8" s="7"/>
      <c r="J8" s="7"/>
      <c r="K8" s="39"/>
      <c r="L8" s="14" t="s">
        <v>24</v>
      </c>
      <c r="M8" s="9" t="s">
        <v>0</v>
      </c>
      <c r="N8" s="78">
        <v>11500</v>
      </c>
      <c r="O8" s="78"/>
      <c r="P8" s="2"/>
      <c r="Q8" s="3"/>
      <c r="R8" s="3"/>
      <c r="S8" s="3"/>
      <c r="T8" s="3"/>
      <c r="U8" s="1"/>
      <c r="V8" s="1"/>
    </row>
    <row r="9" spans="1:22" ht="15.75" customHeight="1" x14ac:dyDescent="0.25">
      <c r="A9" s="174"/>
      <c r="B9" s="7"/>
      <c r="C9" s="7"/>
      <c r="D9" s="7"/>
      <c r="E9" s="7"/>
      <c r="F9" s="7"/>
      <c r="G9" s="7"/>
      <c r="H9" s="7"/>
      <c r="I9" s="7"/>
      <c r="J9" s="7"/>
      <c r="K9" s="39"/>
      <c r="L9" s="14" t="s">
        <v>24</v>
      </c>
      <c r="M9" s="9" t="s">
        <v>20</v>
      </c>
      <c r="N9" s="78">
        <v>7500</v>
      </c>
      <c r="O9" s="78"/>
      <c r="P9" s="2"/>
      <c r="Q9" s="3"/>
      <c r="R9" s="3"/>
      <c r="S9" s="3"/>
      <c r="T9" s="3"/>
      <c r="U9" s="1"/>
      <c r="V9" s="1"/>
    </row>
    <row r="10" spans="1:22" ht="15.75" customHeight="1" x14ac:dyDescent="0.25">
      <c r="A10" s="174"/>
      <c r="B10" s="7"/>
      <c r="C10" s="7"/>
      <c r="D10" s="7"/>
      <c r="E10" s="7"/>
      <c r="F10" s="7"/>
      <c r="G10" s="7"/>
      <c r="H10" s="7"/>
      <c r="I10" s="7"/>
      <c r="J10" s="7"/>
      <c r="K10" s="39" t="s">
        <v>11</v>
      </c>
      <c r="L10" s="14" t="s">
        <v>34</v>
      </c>
      <c r="M10" s="16">
        <v>3.5000000000000003E-2</v>
      </c>
      <c r="N10" s="14" t="s">
        <v>35</v>
      </c>
      <c r="O10" s="16">
        <v>0.03</v>
      </c>
      <c r="P10" s="2"/>
      <c r="Q10" s="3"/>
      <c r="R10" s="3"/>
      <c r="S10" s="3"/>
      <c r="T10" s="3"/>
      <c r="U10" s="1"/>
      <c r="V10" s="1"/>
    </row>
    <row r="11" spans="1:22" ht="15.75" customHeight="1" x14ac:dyDescent="0.25">
      <c r="A11" s="174"/>
      <c r="B11" s="7"/>
      <c r="C11" s="7"/>
      <c r="D11" s="7"/>
      <c r="E11" s="7"/>
      <c r="F11" s="7"/>
      <c r="G11" s="7"/>
      <c r="H11" s="7"/>
      <c r="I11" s="7"/>
      <c r="J11" s="7"/>
      <c r="K11" s="39"/>
      <c r="L11" s="14" t="s">
        <v>8</v>
      </c>
      <c r="M11" s="16">
        <v>2.5999999999999999E-2</v>
      </c>
      <c r="N11" s="15" t="s">
        <v>7</v>
      </c>
      <c r="O11" s="16">
        <v>2.5999999999999999E-2</v>
      </c>
      <c r="P11" s="2"/>
      <c r="Q11" s="3"/>
      <c r="R11" s="3"/>
      <c r="S11" s="3"/>
      <c r="T11" s="3"/>
      <c r="U11" s="1"/>
      <c r="V11" s="1"/>
    </row>
    <row r="12" spans="1:22" ht="15.75" customHeight="1" x14ac:dyDescent="0.25">
      <c r="A12" s="174"/>
      <c r="B12" s="7"/>
      <c r="C12" s="7"/>
      <c r="D12" s="7"/>
      <c r="E12" s="7"/>
      <c r="F12" s="7"/>
      <c r="G12" s="7"/>
      <c r="H12" s="7"/>
      <c r="I12" s="7"/>
      <c r="J12" s="7"/>
      <c r="K12" s="39"/>
      <c r="L12" s="14" t="s">
        <v>9</v>
      </c>
      <c r="M12" s="80">
        <v>600000</v>
      </c>
      <c r="N12" s="15" t="s">
        <v>10</v>
      </c>
      <c r="O12" s="79">
        <v>600000</v>
      </c>
      <c r="P12" s="2"/>
      <c r="Q12" s="3"/>
      <c r="R12" s="3"/>
      <c r="S12" s="3"/>
      <c r="T12" s="3"/>
      <c r="U12" s="1"/>
      <c r="V12" s="1"/>
    </row>
    <row r="13" spans="1:22" ht="15.6" x14ac:dyDescent="0.25">
      <c r="A13" s="174"/>
      <c r="B13" s="7"/>
      <c r="C13" s="7"/>
      <c r="D13" s="7"/>
      <c r="E13" s="7"/>
      <c r="F13" s="7"/>
      <c r="G13" s="7"/>
      <c r="H13" s="7"/>
      <c r="I13" s="7"/>
      <c r="J13" s="7"/>
      <c r="K13" s="170" t="s">
        <v>5</v>
      </c>
      <c r="L13" s="13" t="s">
        <v>6</v>
      </c>
      <c r="M13" s="159">
        <v>0.2</v>
      </c>
      <c r="N13" s="160"/>
      <c r="O13" s="161"/>
      <c r="P13" s="3"/>
      <c r="Q13" s="3"/>
      <c r="R13" s="3"/>
      <c r="S13" s="3"/>
      <c r="T13" s="3"/>
      <c r="U13" s="1"/>
      <c r="V13" s="1"/>
    </row>
    <row r="14" spans="1:22" x14ac:dyDescent="0.25">
      <c r="A14" s="174"/>
      <c r="B14" s="5"/>
      <c r="C14" s="5"/>
      <c r="D14" s="5"/>
      <c r="E14" s="5"/>
      <c r="F14" s="5"/>
      <c r="G14" s="5"/>
      <c r="H14" s="5"/>
      <c r="I14" s="5"/>
      <c r="J14" s="5"/>
      <c r="K14" s="171"/>
      <c r="L14" s="162" t="str">
        <f>M7</f>
        <v>广州</v>
      </c>
      <c r="M14" s="163">
        <f>N7*N3*M13</f>
        <v>484000</v>
      </c>
      <c r="N14" s="164"/>
      <c r="O14" s="165"/>
    </row>
    <row r="15" spans="1:22" x14ac:dyDescent="0.25">
      <c r="A15" s="174"/>
      <c r="B15" s="5"/>
      <c r="C15" s="5"/>
      <c r="D15" s="5"/>
      <c r="E15" s="5"/>
      <c r="F15" s="5"/>
      <c r="G15" s="5"/>
      <c r="H15" s="5"/>
      <c r="I15" s="5"/>
      <c r="J15" s="5"/>
      <c r="K15" s="171"/>
      <c r="L15" s="162" t="str">
        <f t="shared" ref="L15:L16" si="0">M8</f>
        <v>佛山</v>
      </c>
      <c r="M15" s="163">
        <f>N8*N3*M13</f>
        <v>253000</v>
      </c>
      <c r="N15" s="164"/>
      <c r="O15" s="165"/>
    </row>
    <row r="16" spans="1:22" ht="14.4" thickBot="1" x14ac:dyDescent="0.3">
      <c r="A16" s="175"/>
      <c r="B16" s="6"/>
      <c r="C16" s="6"/>
      <c r="D16" s="6"/>
      <c r="E16" s="6"/>
      <c r="F16" s="6"/>
      <c r="G16" s="6"/>
      <c r="H16" s="6"/>
      <c r="I16" s="6"/>
      <c r="J16" s="6"/>
      <c r="K16" s="172"/>
      <c r="L16" s="166" t="str">
        <f t="shared" si="0"/>
        <v>茂名</v>
      </c>
      <c r="M16" s="167">
        <f>N9*N3*M13</f>
        <v>165000</v>
      </c>
      <c r="N16" s="168"/>
      <c r="O16" s="169"/>
    </row>
    <row r="17" spans="1:15" ht="42.6" customHeight="1" thickBot="1" x14ac:dyDescent="0.3">
      <c r="A17" s="158" t="s">
        <v>40</v>
      </c>
      <c r="B17" s="73"/>
      <c r="C17" s="73"/>
      <c r="D17" s="73"/>
      <c r="E17" s="73"/>
      <c r="F17" s="73"/>
      <c r="G17" s="73"/>
      <c r="H17" s="73"/>
      <c r="I17" s="73"/>
      <c r="J17" s="73"/>
      <c r="K17" s="74" t="s">
        <v>12</v>
      </c>
      <c r="L17" s="74" t="s">
        <v>25</v>
      </c>
      <c r="M17" s="74" t="s">
        <v>26</v>
      </c>
      <c r="N17" s="74" t="s">
        <v>27</v>
      </c>
      <c r="O17" s="75" t="s">
        <v>28</v>
      </c>
    </row>
    <row r="18" spans="1:15" x14ac:dyDescent="0.25">
      <c r="A18" s="65" t="s">
        <v>2</v>
      </c>
      <c r="B18" s="66"/>
      <c r="C18" s="66"/>
      <c r="D18" s="66"/>
      <c r="E18" s="66"/>
      <c r="F18" s="66"/>
      <c r="G18" s="66"/>
      <c r="H18" s="66"/>
      <c r="I18" s="66"/>
      <c r="J18" s="66"/>
      <c r="K18" s="66" t="str">
        <f>M7</f>
        <v>广州</v>
      </c>
      <c r="L18" s="123"/>
      <c r="M18" s="123"/>
      <c r="N18" s="124">
        <f>M12</f>
        <v>600000</v>
      </c>
      <c r="O18" s="125"/>
    </row>
    <row r="19" spans="1:15" x14ac:dyDescent="0.25">
      <c r="A19" s="67"/>
      <c r="B19" s="68"/>
      <c r="C19" s="68"/>
      <c r="D19" s="68"/>
      <c r="E19" s="68"/>
      <c r="F19" s="68"/>
      <c r="G19" s="68"/>
      <c r="H19" s="68"/>
      <c r="I19" s="68"/>
      <c r="J19" s="68"/>
      <c r="K19" s="68" t="str">
        <f>M8</f>
        <v>佛山</v>
      </c>
      <c r="L19" s="82"/>
      <c r="M19" s="82"/>
      <c r="N19" s="82"/>
      <c r="O19" s="83">
        <f>O12</f>
        <v>600000</v>
      </c>
    </row>
    <row r="20" spans="1:15" x14ac:dyDescent="0.25">
      <c r="A20" s="67"/>
      <c r="B20" s="68"/>
      <c r="C20" s="68"/>
      <c r="D20" s="68"/>
      <c r="E20" s="68"/>
      <c r="F20" s="68"/>
      <c r="G20" s="68"/>
      <c r="H20" s="68"/>
      <c r="I20" s="68"/>
      <c r="J20" s="68"/>
      <c r="K20" s="68" t="str">
        <f>M9</f>
        <v>茂名</v>
      </c>
      <c r="L20" s="82"/>
      <c r="M20" s="82"/>
      <c r="N20" s="82"/>
      <c r="O20" s="83">
        <f>O12</f>
        <v>600000</v>
      </c>
    </row>
    <row r="21" spans="1:15" x14ac:dyDescent="0.25">
      <c r="A21" s="69" t="s">
        <v>3</v>
      </c>
      <c r="B21" s="70"/>
      <c r="C21" s="70"/>
      <c r="D21" s="70"/>
      <c r="E21" s="70"/>
      <c r="F21" s="70"/>
      <c r="G21" s="70"/>
      <c r="H21" s="70"/>
      <c r="I21" s="70"/>
      <c r="J21" s="70"/>
      <c r="K21" s="70" t="str">
        <f>M7</f>
        <v>广州</v>
      </c>
      <c r="L21" s="84">
        <f>N3*N7-M14</f>
        <v>1936000</v>
      </c>
      <c r="M21" s="84">
        <f>L21</f>
        <v>1936000</v>
      </c>
      <c r="N21" s="84">
        <f>IF(M21-N18&lt;0,0,M21-N18)</f>
        <v>1336000</v>
      </c>
      <c r="O21" s="85"/>
    </row>
    <row r="22" spans="1:15" x14ac:dyDescent="0.25">
      <c r="A22" s="69"/>
      <c r="B22" s="70"/>
      <c r="C22" s="70"/>
      <c r="D22" s="70"/>
      <c r="E22" s="70"/>
      <c r="F22" s="70"/>
      <c r="G22" s="70"/>
      <c r="H22" s="70"/>
      <c r="I22" s="70"/>
      <c r="J22" s="70"/>
      <c r="K22" s="70" t="str">
        <f>M8</f>
        <v>佛山</v>
      </c>
      <c r="L22" s="84">
        <f>N3*N8-M15</f>
        <v>1012000</v>
      </c>
      <c r="M22" s="84">
        <f>L22</f>
        <v>1012000</v>
      </c>
      <c r="N22" s="86"/>
      <c r="O22" s="87">
        <f>IF(M22-O19&lt;0,0,M22-O19)</f>
        <v>412000</v>
      </c>
    </row>
    <row r="23" spans="1:15" ht="14.4" thickBot="1" x14ac:dyDescent="0.3">
      <c r="A23" s="71"/>
      <c r="B23" s="72"/>
      <c r="C23" s="72"/>
      <c r="D23" s="72"/>
      <c r="E23" s="72"/>
      <c r="F23" s="72"/>
      <c r="G23" s="72"/>
      <c r="H23" s="72"/>
      <c r="I23" s="72"/>
      <c r="J23" s="72"/>
      <c r="K23" s="72" t="str">
        <f>M9</f>
        <v>茂名</v>
      </c>
      <c r="L23" s="126">
        <f>N3*N9-M16</f>
        <v>660000</v>
      </c>
      <c r="M23" s="126">
        <f>L23</f>
        <v>660000</v>
      </c>
      <c r="N23" s="127"/>
      <c r="O23" s="128">
        <f>IF(M23-O20&lt;0,0,M23-O20)</f>
        <v>60000</v>
      </c>
    </row>
    <row r="24" spans="1:15" x14ac:dyDescent="0.25">
      <c r="A24" s="44" t="s">
        <v>31</v>
      </c>
      <c r="B24" s="25"/>
      <c r="C24" s="26">
        <f>M21</f>
        <v>1936000</v>
      </c>
      <c r="D24" s="26">
        <f>N18</f>
        <v>600000</v>
      </c>
      <c r="E24" s="26">
        <f>N21</f>
        <v>1336000</v>
      </c>
      <c r="F24" s="27">
        <f>M10</f>
        <v>3.5000000000000003E-2</v>
      </c>
      <c r="G24" s="27">
        <f>O10</f>
        <v>0.03</v>
      </c>
      <c r="H24" s="27">
        <f>M11</f>
        <v>2.5999999999999999E-2</v>
      </c>
      <c r="I24" s="27">
        <f>O11</f>
        <v>2.5999999999999999E-2</v>
      </c>
      <c r="J24" s="28">
        <f>N6</f>
        <v>30</v>
      </c>
      <c r="K24" s="25" t="str">
        <f>M7</f>
        <v>广州</v>
      </c>
      <c r="L24" s="129">
        <f>-PMT(F24/12,J24*12,C24)</f>
        <v>8693.5051559788426</v>
      </c>
      <c r="M24" s="129">
        <f>-PMT(G24/12,J24*12,C24)</f>
        <v>8162.2540930021614</v>
      </c>
      <c r="N24" s="129">
        <f>(-PMT(H24/12,J24*12,D24))+(-PMT(F24/12,J24*12,E24))</f>
        <v>8401.275298344106</v>
      </c>
      <c r="O24" s="130"/>
    </row>
    <row r="25" spans="1:15" x14ac:dyDescent="0.25">
      <c r="A25" s="45"/>
      <c r="B25" s="10"/>
      <c r="C25" s="11">
        <f>M22</f>
        <v>1012000</v>
      </c>
      <c r="D25" s="11">
        <f>O19</f>
        <v>600000</v>
      </c>
      <c r="E25" s="11">
        <f>O22</f>
        <v>412000</v>
      </c>
      <c r="F25" s="12">
        <f>M10</f>
        <v>3.5000000000000003E-2</v>
      </c>
      <c r="G25" s="12">
        <f>O10</f>
        <v>0.03</v>
      </c>
      <c r="H25" s="12">
        <f>M11</f>
        <v>2.5999999999999999E-2</v>
      </c>
      <c r="I25" s="12">
        <f>O11</f>
        <v>2.5999999999999999E-2</v>
      </c>
      <c r="J25" s="10">
        <f>N6</f>
        <v>30</v>
      </c>
      <c r="K25" s="10" t="str">
        <f>M8</f>
        <v>佛山</v>
      </c>
      <c r="L25" s="88">
        <f>-PMT(F25/12,J25*12,C25)</f>
        <v>4544.3322406253037</v>
      </c>
      <c r="M25" s="88">
        <f>-PMT(G25/12,J25*12,C25)</f>
        <v>4266.6328213420393</v>
      </c>
      <c r="N25" s="89"/>
      <c r="O25" s="90">
        <f>(-PMT(I25/12,J25*12,D25))+(-PMT(F25/12,J25*12,E25))</f>
        <v>4252.1023829905671</v>
      </c>
    </row>
    <row r="26" spans="1:15" x14ac:dyDescent="0.25">
      <c r="A26" s="45"/>
      <c r="B26" s="10"/>
      <c r="C26" s="11">
        <f>M23</f>
        <v>660000</v>
      </c>
      <c r="D26" s="11">
        <f>O20</f>
        <v>600000</v>
      </c>
      <c r="E26" s="11">
        <f>O23</f>
        <v>60000</v>
      </c>
      <c r="F26" s="12">
        <f>M10</f>
        <v>3.5000000000000003E-2</v>
      </c>
      <c r="G26" s="12">
        <f>O10</f>
        <v>0.03</v>
      </c>
      <c r="H26" s="12">
        <f>M11</f>
        <v>2.5999999999999999E-2</v>
      </c>
      <c r="I26" s="12">
        <f>O11</f>
        <v>2.5999999999999999E-2</v>
      </c>
      <c r="J26" s="10">
        <f>N6</f>
        <v>30</v>
      </c>
      <c r="K26" s="10" t="str">
        <f>M9</f>
        <v>茂名</v>
      </c>
      <c r="L26" s="88">
        <f>-PMT(F26/12,J26*12,C26)</f>
        <v>2963.6949395382417</v>
      </c>
      <c r="M26" s="88">
        <f>-PMT(G26/12,J26*12,C26)</f>
        <v>2782.5866226143735</v>
      </c>
      <c r="N26" s="89"/>
      <c r="O26" s="90">
        <f>(-PMT(I26/12,J26*12,D26))+(-PMT(F26/12,J26*12,E26))</f>
        <v>2671.4650819035051</v>
      </c>
    </row>
    <row r="27" spans="1:15" x14ac:dyDescent="0.25">
      <c r="A27" s="34" t="s">
        <v>30</v>
      </c>
      <c r="B27" s="17"/>
      <c r="C27" s="17">
        <f>M21</f>
        <v>1936000</v>
      </c>
      <c r="D27" s="18">
        <f>N18</f>
        <v>600000</v>
      </c>
      <c r="E27" s="18">
        <f>N21</f>
        <v>1336000</v>
      </c>
      <c r="F27" s="19">
        <f>M10</f>
        <v>3.5000000000000003E-2</v>
      </c>
      <c r="G27" s="19">
        <f>O10</f>
        <v>0.03</v>
      </c>
      <c r="H27" s="19">
        <f>M11</f>
        <v>2.5999999999999999E-2</v>
      </c>
      <c r="I27" s="19">
        <f>O11</f>
        <v>2.5999999999999999E-2</v>
      </c>
      <c r="J27" s="17">
        <f>N6</f>
        <v>30</v>
      </c>
      <c r="K27" s="17" t="str">
        <f>M7</f>
        <v>广州</v>
      </c>
      <c r="L27" s="91">
        <f>-(PMT(F27/12,J27*12,C27))*12*J27-M21</f>
        <v>1193661.8561523836</v>
      </c>
      <c r="M27" s="91">
        <f>-(PMT(G27/12,J27*12,C27))*12*J27-M21</f>
        <v>1002411.4734807783</v>
      </c>
      <c r="N27" s="91">
        <f>(-(PMT(H27/12,J27*12,D27))*12*J27-N18)+(-(PMT(F27/12,J27*12,E27))*12*J27-N21)</f>
        <v>1088459.1074038777</v>
      </c>
      <c r="O27" s="92"/>
    </row>
    <row r="28" spans="1:15" x14ac:dyDescent="0.25">
      <c r="A28" s="35"/>
      <c r="B28" s="21"/>
      <c r="C28" s="21">
        <f>M22</f>
        <v>1012000</v>
      </c>
      <c r="D28" s="20">
        <f>O19</f>
        <v>600000</v>
      </c>
      <c r="E28" s="20">
        <f>O22</f>
        <v>412000</v>
      </c>
      <c r="F28" s="19">
        <f>M10</f>
        <v>3.5000000000000003E-2</v>
      </c>
      <c r="G28" s="19">
        <f>O10</f>
        <v>0.03</v>
      </c>
      <c r="H28" s="19">
        <f>M11</f>
        <v>2.5999999999999999E-2</v>
      </c>
      <c r="I28" s="19">
        <f>O11</f>
        <v>2.5999999999999999E-2</v>
      </c>
      <c r="J28" s="21">
        <f>N6</f>
        <v>30</v>
      </c>
      <c r="K28" s="21" t="str">
        <f>M8</f>
        <v>佛山</v>
      </c>
      <c r="L28" s="91">
        <f>-(PMT(F28/12,J28*12,C28))*12*J28-M22</f>
        <v>623959.60662510945</v>
      </c>
      <c r="M28" s="91">
        <f>-(PMT(G28/12,J28*12,C28))*12*J28-M22</f>
        <v>523987.81568313437</v>
      </c>
      <c r="N28" s="93"/>
      <c r="O28" s="94">
        <f>(-(PMT(I28/12,J28*12,D28))*12*J28-O19)+(-(PMT(F28/12,J28*12,E28))*12*J28-O22)</f>
        <v>518756.85787660407</v>
      </c>
    </row>
    <row r="29" spans="1:15" x14ac:dyDescent="0.25">
      <c r="A29" s="35"/>
      <c r="B29" s="21"/>
      <c r="C29" s="21">
        <f>M23</f>
        <v>660000</v>
      </c>
      <c r="D29" s="20">
        <f>O20</f>
        <v>600000</v>
      </c>
      <c r="E29" s="20">
        <f>O23</f>
        <v>60000</v>
      </c>
      <c r="F29" s="19">
        <f>M10</f>
        <v>3.5000000000000003E-2</v>
      </c>
      <c r="G29" s="19">
        <f>O10</f>
        <v>0.03</v>
      </c>
      <c r="H29" s="19">
        <f>M11</f>
        <v>2.5999999999999999E-2</v>
      </c>
      <c r="I29" s="19">
        <f>O11</f>
        <v>2.5999999999999999E-2</v>
      </c>
      <c r="J29" s="21">
        <f>N6</f>
        <v>30</v>
      </c>
      <c r="K29" s="21" t="str">
        <f>M9</f>
        <v>茂名</v>
      </c>
      <c r="L29" s="91">
        <f>-(PMT(F29/12,J29*12,C29))*12*J29-M23</f>
        <v>406930.17823376693</v>
      </c>
      <c r="M29" s="91">
        <f>-(PMT(G29/12,J29*12,C29))*12*J29-M23</f>
        <v>341731.18414117442</v>
      </c>
      <c r="N29" s="93"/>
      <c r="O29" s="94">
        <f>(-(PMT(I29/12,J29*12,D29))*12*J29-O20)+(-(PMT(F29/12,J29*12,E29))*12*J29-O23)</f>
        <v>301727.42948526167</v>
      </c>
    </row>
    <row r="30" spans="1:15" x14ac:dyDescent="0.25">
      <c r="A30" s="36" t="s">
        <v>32</v>
      </c>
      <c r="B30" s="22">
        <f>N3*N7</f>
        <v>2420000</v>
      </c>
      <c r="C30" s="22"/>
      <c r="D30" s="23"/>
      <c r="E30" s="23"/>
      <c r="F30" s="24"/>
      <c r="G30" s="24"/>
      <c r="H30" s="24"/>
      <c r="I30" s="24"/>
      <c r="J30" s="22"/>
      <c r="K30" s="22" t="str">
        <f>M7</f>
        <v>广州</v>
      </c>
      <c r="L30" s="95">
        <f>B30+L27</f>
        <v>3613661.8561523836</v>
      </c>
      <c r="M30" s="95">
        <f>B30+M27</f>
        <v>3422411.4734807783</v>
      </c>
      <c r="N30" s="95">
        <f>B30+N27</f>
        <v>3508459.1074038777</v>
      </c>
      <c r="O30" s="96"/>
    </row>
    <row r="31" spans="1:15" x14ac:dyDescent="0.25">
      <c r="A31" s="37"/>
      <c r="B31" s="22">
        <f>N3*N8</f>
        <v>1265000</v>
      </c>
      <c r="C31" s="22"/>
      <c r="D31" s="23"/>
      <c r="E31" s="23"/>
      <c r="F31" s="24"/>
      <c r="G31" s="24"/>
      <c r="H31" s="24"/>
      <c r="I31" s="24"/>
      <c r="J31" s="22"/>
      <c r="K31" s="22" t="str">
        <f>M8</f>
        <v>佛山</v>
      </c>
      <c r="L31" s="95">
        <f>B31+L28</f>
        <v>1888959.6066251094</v>
      </c>
      <c r="M31" s="95">
        <f>B31+M28</f>
        <v>1788987.8156831344</v>
      </c>
      <c r="N31" s="97"/>
      <c r="O31" s="98">
        <f>B31+O28</f>
        <v>1783756.857876604</v>
      </c>
    </row>
    <row r="32" spans="1:15" ht="14.4" thickBot="1" x14ac:dyDescent="0.3">
      <c r="A32" s="141"/>
      <c r="B32" s="142">
        <f>N3*N9</f>
        <v>825000</v>
      </c>
      <c r="C32" s="142"/>
      <c r="D32" s="142"/>
      <c r="E32" s="142"/>
      <c r="F32" s="143"/>
      <c r="G32" s="143"/>
      <c r="H32" s="143"/>
      <c r="I32" s="143"/>
      <c r="J32" s="142"/>
      <c r="K32" s="142" t="str">
        <f>M9</f>
        <v>茂名</v>
      </c>
      <c r="L32" s="144">
        <f>B32+L29</f>
        <v>1231930.1782337669</v>
      </c>
      <c r="M32" s="144">
        <f>B32+M29</f>
        <v>1166731.1841411744</v>
      </c>
      <c r="N32" s="145"/>
      <c r="O32" s="146">
        <f>B32+O29</f>
        <v>1126727.4294852617</v>
      </c>
    </row>
    <row r="33" spans="1:15" x14ac:dyDescent="0.25">
      <c r="A33" s="147" t="s">
        <v>33</v>
      </c>
      <c r="B33" s="148"/>
      <c r="C33" s="148"/>
      <c r="D33" s="148"/>
      <c r="E33" s="148"/>
      <c r="F33" s="149"/>
      <c r="G33" s="149"/>
      <c r="H33" s="149"/>
      <c r="I33" s="149"/>
      <c r="J33" s="148"/>
      <c r="K33" s="148" t="str">
        <f>M7</f>
        <v>广州</v>
      </c>
      <c r="L33" s="150">
        <f>IF(N3&lt;=140,B30*0.01,IF(N3&gt;140,B30*0.015))</f>
        <v>24200</v>
      </c>
      <c r="M33" s="150"/>
      <c r="N33" s="150"/>
      <c r="O33" s="151"/>
    </row>
    <row r="34" spans="1:15" x14ac:dyDescent="0.25">
      <c r="A34" s="152"/>
      <c r="B34" s="153"/>
      <c r="C34" s="153"/>
      <c r="D34" s="153"/>
      <c r="E34" s="153"/>
      <c r="F34" s="154"/>
      <c r="G34" s="154"/>
      <c r="H34" s="154"/>
      <c r="I34" s="154"/>
      <c r="J34" s="153"/>
      <c r="K34" s="153" t="str">
        <f>M8</f>
        <v>佛山</v>
      </c>
      <c r="L34" s="155">
        <f>IF(N3&lt;=140,B31*0.01,IF(N3&gt;140,B31*0.015))</f>
        <v>12650</v>
      </c>
      <c r="M34" s="155"/>
      <c r="N34" s="155"/>
      <c r="O34" s="156"/>
    </row>
    <row r="35" spans="1:15" x14ac:dyDescent="0.25">
      <c r="A35" s="152"/>
      <c r="B35" s="153"/>
      <c r="C35" s="153"/>
      <c r="D35" s="153"/>
      <c r="E35" s="153"/>
      <c r="F35" s="154"/>
      <c r="G35" s="154"/>
      <c r="H35" s="154"/>
      <c r="I35" s="154"/>
      <c r="J35" s="153"/>
      <c r="K35" s="153" t="str">
        <f>M9</f>
        <v>茂名</v>
      </c>
      <c r="L35" s="155">
        <f>IF(N3&lt;=140,B32*0.01,IF(N3&gt;140,B32*0.015))</f>
        <v>8250</v>
      </c>
      <c r="M35" s="155"/>
      <c r="N35" s="155"/>
      <c r="O35" s="156"/>
    </row>
    <row r="36" spans="1:15" x14ac:dyDescent="0.25">
      <c r="A36" s="157" t="s">
        <v>37</v>
      </c>
      <c r="B36" s="5"/>
      <c r="C36" s="5"/>
      <c r="D36" s="5"/>
      <c r="E36" s="5"/>
      <c r="F36" s="29"/>
      <c r="G36" s="29"/>
      <c r="H36" s="29"/>
      <c r="I36" s="29"/>
      <c r="J36" s="5"/>
      <c r="K36" s="5" t="str">
        <f>M7</f>
        <v>广州</v>
      </c>
      <c r="L36" s="99">
        <v>0</v>
      </c>
      <c r="M36" s="100"/>
      <c r="N36" s="100"/>
      <c r="O36" s="101"/>
    </row>
    <row r="37" spans="1:15" x14ac:dyDescent="0.25">
      <c r="A37" s="40"/>
      <c r="B37" s="5"/>
      <c r="C37" s="5"/>
      <c r="D37" s="5"/>
      <c r="E37" s="5"/>
      <c r="F37" s="29"/>
      <c r="G37" s="29"/>
      <c r="H37" s="29"/>
      <c r="I37" s="29"/>
      <c r="J37" s="5"/>
      <c r="K37" s="5" t="str">
        <f>M8</f>
        <v>佛山</v>
      </c>
      <c r="L37" s="99">
        <v>0</v>
      </c>
      <c r="M37" s="100"/>
      <c r="N37" s="100"/>
      <c r="O37" s="101"/>
    </row>
    <row r="38" spans="1:15" x14ac:dyDescent="0.25">
      <c r="A38" s="41"/>
      <c r="B38" s="5"/>
      <c r="C38" s="5"/>
      <c r="D38" s="5"/>
      <c r="E38" s="5"/>
      <c r="F38" s="29"/>
      <c r="G38" s="29"/>
      <c r="H38" s="29"/>
      <c r="I38" s="29"/>
      <c r="J38" s="5"/>
      <c r="K38" s="5" t="str">
        <f>M9</f>
        <v>茂名</v>
      </c>
      <c r="L38" s="99">
        <v>0</v>
      </c>
      <c r="M38" s="100"/>
      <c r="N38" s="100"/>
      <c r="O38" s="101"/>
    </row>
    <row r="39" spans="1:15" x14ac:dyDescent="0.25">
      <c r="A39" s="157" t="s">
        <v>38</v>
      </c>
      <c r="B39" s="5"/>
      <c r="C39" s="5"/>
      <c r="D39" s="5"/>
      <c r="E39" s="5"/>
      <c r="F39" s="29"/>
      <c r="G39" s="29"/>
      <c r="H39" s="29"/>
      <c r="I39" s="29"/>
      <c r="J39" s="5"/>
      <c r="K39" s="5" t="str">
        <f>M7</f>
        <v>广州</v>
      </c>
      <c r="L39" s="99">
        <v>0</v>
      </c>
      <c r="M39" s="100"/>
      <c r="N39" s="100"/>
      <c r="O39" s="101"/>
    </row>
    <row r="40" spans="1:15" x14ac:dyDescent="0.25">
      <c r="A40" s="40"/>
      <c r="B40" s="5"/>
      <c r="C40" s="5"/>
      <c r="D40" s="5"/>
      <c r="E40" s="5"/>
      <c r="F40" s="29"/>
      <c r="G40" s="29"/>
      <c r="H40" s="29"/>
      <c r="I40" s="29"/>
      <c r="J40" s="5"/>
      <c r="K40" s="5" t="str">
        <f>M8</f>
        <v>佛山</v>
      </c>
      <c r="L40" s="99">
        <v>0</v>
      </c>
      <c r="M40" s="100"/>
      <c r="N40" s="100"/>
      <c r="O40" s="101"/>
    </row>
    <row r="41" spans="1:15" x14ac:dyDescent="0.25">
      <c r="A41" s="41"/>
      <c r="B41" s="5"/>
      <c r="C41" s="5"/>
      <c r="D41" s="5"/>
      <c r="E41" s="5"/>
      <c r="F41" s="29"/>
      <c r="G41" s="29"/>
      <c r="H41" s="29"/>
      <c r="I41" s="29"/>
      <c r="J41" s="5"/>
      <c r="K41" s="5" t="str">
        <f>M9</f>
        <v>茂名</v>
      </c>
      <c r="L41" s="99">
        <v>0</v>
      </c>
      <c r="M41" s="100"/>
      <c r="N41" s="100"/>
      <c r="O41" s="101"/>
    </row>
    <row r="42" spans="1:15" x14ac:dyDescent="0.25">
      <c r="A42" s="157" t="s">
        <v>39</v>
      </c>
      <c r="B42" s="5"/>
      <c r="C42" s="5"/>
      <c r="D42" s="5"/>
      <c r="E42" s="5"/>
      <c r="F42" s="29"/>
      <c r="G42" s="29"/>
      <c r="H42" s="29"/>
      <c r="I42" s="29"/>
      <c r="J42" s="5"/>
      <c r="K42" s="5" t="str">
        <f>M7</f>
        <v>广州</v>
      </c>
      <c r="L42" s="99">
        <v>0</v>
      </c>
      <c r="M42" s="100"/>
      <c r="N42" s="100"/>
      <c r="O42" s="101"/>
    </row>
    <row r="43" spans="1:15" x14ac:dyDescent="0.25">
      <c r="A43" s="40"/>
      <c r="B43" s="5"/>
      <c r="C43" s="5"/>
      <c r="D43" s="5"/>
      <c r="E43" s="5"/>
      <c r="F43" s="29"/>
      <c r="G43" s="29"/>
      <c r="H43" s="29"/>
      <c r="I43" s="29"/>
      <c r="J43" s="5"/>
      <c r="K43" s="5" t="str">
        <f>M8</f>
        <v>佛山</v>
      </c>
      <c r="L43" s="99">
        <v>0</v>
      </c>
      <c r="M43" s="100"/>
      <c r="N43" s="100"/>
      <c r="O43" s="101"/>
    </row>
    <row r="44" spans="1:15" ht="14.4" thickBot="1" x14ac:dyDescent="0.3">
      <c r="A44" s="131"/>
      <c r="B44" s="8"/>
      <c r="C44" s="8"/>
      <c r="D44" s="8"/>
      <c r="E44" s="8"/>
      <c r="F44" s="132"/>
      <c r="G44" s="132"/>
      <c r="H44" s="132"/>
      <c r="I44" s="132"/>
      <c r="J44" s="8"/>
      <c r="K44" s="8" t="str">
        <f>M9</f>
        <v>茂名</v>
      </c>
      <c r="L44" s="133">
        <v>0</v>
      </c>
      <c r="M44" s="134"/>
      <c r="N44" s="134"/>
      <c r="O44" s="135"/>
    </row>
    <row r="45" spans="1:15" x14ac:dyDescent="0.25">
      <c r="A45" s="136" t="s">
        <v>36</v>
      </c>
      <c r="B45" s="137"/>
      <c r="C45" s="137"/>
      <c r="D45" s="137"/>
      <c r="E45" s="137"/>
      <c r="F45" s="138"/>
      <c r="G45" s="138"/>
      <c r="H45" s="138"/>
      <c r="I45" s="138"/>
      <c r="J45" s="137"/>
      <c r="K45" s="137" t="str">
        <f>M7</f>
        <v>广州</v>
      </c>
      <c r="L45" s="139">
        <f>L30+L33+L36+L39+L42</f>
        <v>3637861.8561523836</v>
      </c>
      <c r="M45" s="139">
        <f>M30+L33+L36+L39+L42</f>
        <v>3446611.4734807783</v>
      </c>
      <c r="N45" s="139">
        <f>N30+L33+L36+L39+L42</f>
        <v>3532659.1074038777</v>
      </c>
      <c r="O45" s="140"/>
    </row>
    <row r="46" spans="1:15" x14ac:dyDescent="0.25">
      <c r="A46" s="46"/>
      <c r="B46" s="30"/>
      <c r="C46" s="30"/>
      <c r="D46" s="30"/>
      <c r="E46" s="30"/>
      <c r="F46" s="31"/>
      <c r="G46" s="31"/>
      <c r="H46" s="31"/>
      <c r="I46" s="31"/>
      <c r="J46" s="30"/>
      <c r="K46" s="30" t="str">
        <f>M8</f>
        <v>佛山</v>
      </c>
      <c r="L46" s="102">
        <f t="shared" ref="L46:L47" si="1">L31+L34+L37+L40+L43</f>
        <v>1901609.6066251094</v>
      </c>
      <c r="M46" s="102">
        <f>M31+L34+L37+L40+L43</f>
        <v>1801637.8156831344</v>
      </c>
      <c r="N46" s="103"/>
      <c r="O46" s="104">
        <f>O31+L34+L37+L40+L43</f>
        <v>1796406.857876604</v>
      </c>
    </row>
    <row r="47" spans="1:15" x14ac:dyDescent="0.25">
      <c r="A47" s="47"/>
      <c r="B47" s="30"/>
      <c r="C47" s="30"/>
      <c r="D47" s="30"/>
      <c r="E47" s="30"/>
      <c r="F47" s="31"/>
      <c r="G47" s="31"/>
      <c r="H47" s="31"/>
      <c r="I47" s="31"/>
      <c r="J47" s="30"/>
      <c r="K47" s="30" t="str">
        <f>M9</f>
        <v>茂名</v>
      </c>
      <c r="L47" s="102">
        <f t="shared" si="1"/>
        <v>1240180.1782337669</v>
      </c>
      <c r="M47" s="102">
        <f>M32+L35+L38+L41+L44</f>
        <v>1174981.1841411744</v>
      </c>
      <c r="N47" s="103"/>
      <c r="O47" s="104">
        <f>O32+L35+L38+L41+L44</f>
        <v>1134977.4294852617</v>
      </c>
    </row>
    <row r="48" spans="1:15" x14ac:dyDescent="0.25">
      <c r="A48" s="48" t="s">
        <v>18</v>
      </c>
      <c r="B48" s="49"/>
      <c r="C48" s="50"/>
      <c r="D48" s="50"/>
      <c r="E48" s="50"/>
      <c r="F48" s="51"/>
      <c r="G48" s="51"/>
      <c r="H48" s="51"/>
      <c r="I48" s="51"/>
      <c r="J48" s="50"/>
      <c r="K48" s="50" t="str">
        <f>M7</f>
        <v>广州</v>
      </c>
      <c r="L48" s="105">
        <f>L45/N5</f>
        <v>40420.687290582042</v>
      </c>
      <c r="M48" s="105">
        <f>M45/N5</f>
        <v>38295.683038675314</v>
      </c>
      <c r="N48" s="105">
        <f>N45/N5</f>
        <v>39251.767860043088</v>
      </c>
      <c r="O48" s="106"/>
    </row>
    <row r="49" spans="1:15" x14ac:dyDescent="0.25">
      <c r="A49" s="48"/>
      <c r="B49" s="49"/>
      <c r="C49" s="50"/>
      <c r="D49" s="50"/>
      <c r="E49" s="50"/>
      <c r="F49" s="51"/>
      <c r="G49" s="51"/>
      <c r="H49" s="51"/>
      <c r="I49" s="51"/>
      <c r="J49" s="50"/>
      <c r="K49" s="50" t="str">
        <f>M8</f>
        <v>佛山</v>
      </c>
      <c r="L49" s="105">
        <f>L46/N5</f>
        <v>21128.995629167883</v>
      </c>
      <c r="M49" s="105">
        <f>M46/N5</f>
        <v>20018.197952034825</v>
      </c>
      <c r="N49" s="107"/>
      <c r="O49" s="108">
        <f>O46/N5</f>
        <v>19960.076198628933</v>
      </c>
    </row>
    <row r="50" spans="1:15" x14ac:dyDescent="0.25">
      <c r="A50" s="48"/>
      <c r="B50" s="49"/>
      <c r="C50" s="50"/>
      <c r="D50" s="50"/>
      <c r="E50" s="50"/>
      <c r="F50" s="51"/>
      <c r="G50" s="51"/>
      <c r="H50" s="51"/>
      <c r="I50" s="51"/>
      <c r="J50" s="50"/>
      <c r="K50" s="50" t="str">
        <f>M9</f>
        <v>茂名</v>
      </c>
      <c r="L50" s="105">
        <f>L47/N5</f>
        <v>13779.779758152967</v>
      </c>
      <c r="M50" s="105">
        <f>M47/N5</f>
        <v>13055.346490457494</v>
      </c>
      <c r="N50" s="107"/>
      <c r="O50" s="108">
        <f>O47/N5</f>
        <v>12610.860327614018</v>
      </c>
    </row>
    <row r="51" spans="1:15" x14ac:dyDescent="0.25">
      <c r="A51" s="52" t="s">
        <v>17</v>
      </c>
      <c r="B51" s="53"/>
      <c r="C51" s="53"/>
      <c r="D51" s="53"/>
      <c r="E51" s="53"/>
      <c r="F51" s="53"/>
      <c r="G51" s="53"/>
      <c r="H51" s="53"/>
      <c r="I51" s="53"/>
      <c r="J51" s="53"/>
      <c r="K51" s="54" t="str">
        <f>M7</f>
        <v>广州</v>
      </c>
      <c r="L51" s="109">
        <f>L45/50/12</f>
        <v>6063.1030935873059</v>
      </c>
      <c r="M51" s="109">
        <f>M45/50/12</f>
        <v>5744.3524558012969</v>
      </c>
      <c r="N51" s="109">
        <f>N45/50/12</f>
        <v>5887.7651790064629</v>
      </c>
      <c r="O51" s="110"/>
    </row>
    <row r="52" spans="1:15" x14ac:dyDescent="0.25">
      <c r="A52" s="55"/>
      <c r="B52" s="53"/>
      <c r="C52" s="53"/>
      <c r="D52" s="53"/>
      <c r="E52" s="53"/>
      <c r="F52" s="53"/>
      <c r="G52" s="53"/>
      <c r="H52" s="53"/>
      <c r="I52" s="53"/>
      <c r="J52" s="53"/>
      <c r="K52" s="54" t="str">
        <f>M8</f>
        <v>佛山</v>
      </c>
      <c r="L52" s="109">
        <f t="shared" ref="L52:M53" si="2">L46/50/12</f>
        <v>3169.3493443751827</v>
      </c>
      <c r="M52" s="109">
        <f t="shared" si="2"/>
        <v>3002.7296928052237</v>
      </c>
      <c r="N52" s="111"/>
      <c r="O52" s="112">
        <f>O46/50/12</f>
        <v>2994.0114297943401</v>
      </c>
    </row>
    <row r="53" spans="1:15" x14ac:dyDescent="0.25">
      <c r="A53" s="55"/>
      <c r="B53" s="56"/>
      <c r="C53" s="56"/>
      <c r="D53" s="56"/>
      <c r="E53" s="56"/>
      <c r="F53" s="56"/>
      <c r="G53" s="56"/>
      <c r="H53" s="56"/>
      <c r="I53" s="56"/>
      <c r="J53" s="56"/>
      <c r="K53" s="57" t="str">
        <f>M9</f>
        <v>茂名</v>
      </c>
      <c r="L53" s="113">
        <f t="shared" si="2"/>
        <v>2066.9669637229449</v>
      </c>
      <c r="M53" s="113">
        <f t="shared" si="2"/>
        <v>1958.3019735686239</v>
      </c>
      <c r="N53" s="114"/>
      <c r="O53" s="115">
        <f>O47/50/12</f>
        <v>1891.629049142103</v>
      </c>
    </row>
    <row r="54" spans="1:15" x14ac:dyDescent="0.25">
      <c r="A54" s="60" t="s">
        <v>21</v>
      </c>
      <c r="B54" s="58"/>
      <c r="C54" s="58"/>
      <c r="D54" s="58"/>
      <c r="E54" s="58"/>
      <c r="F54" s="58"/>
      <c r="G54" s="58"/>
      <c r="H54" s="58"/>
      <c r="I54" s="58"/>
      <c r="J54" s="58"/>
      <c r="K54" s="59" t="str">
        <f>M7</f>
        <v>广州</v>
      </c>
      <c r="L54" s="116">
        <f>L45/30/12</f>
        <v>10105.17182264551</v>
      </c>
      <c r="M54" s="116">
        <f>M45/30/12</f>
        <v>9573.9207596688284</v>
      </c>
      <c r="N54" s="116">
        <f>N45/30/12</f>
        <v>9812.941965010772</v>
      </c>
      <c r="O54" s="117"/>
    </row>
    <row r="55" spans="1:15" x14ac:dyDescent="0.25">
      <c r="A55" s="61"/>
      <c r="B55" s="58"/>
      <c r="C55" s="58"/>
      <c r="D55" s="58"/>
      <c r="E55" s="58"/>
      <c r="F55" s="58"/>
      <c r="G55" s="58"/>
      <c r="H55" s="58"/>
      <c r="I55" s="58"/>
      <c r="J55" s="58"/>
      <c r="K55" s="59" t="str">
        <f>M8</f>
        <v>佛山</v>
      </c>
      <c r="L55" s="116">
        <f>L46/30/12</f>
        <v>5282.2489072919707</v>
      </c>
      <c r="M55" s="116">
        <f>M46/30/12</f>
        <v>5004.5494880087072</v>
      </c>
      <c r="N55" s="118"/>
      <c r="O55" s="119">
        <f>O46/30/12</f>
        <v>4990.0190496572332</v>
      </c>
    </row>
    <row r="56" spans="1:15" ht="14.4" thickBot="1" x14ac:dyDescent="0.3">
      <c r="A56" s="62"/>
      <c r="B56" s="63"/>
      <c r="C56" s="63"/>
      <c r="D56" s="63"/>
      <c r="E56" s="63"/>
      <c r="F56" s="63"/>
      <c r="G56" s="63"/>
      <c r="H56" s="63"/>
      <c r="I56" s="63"/>
      <c r="J56" s="63"/>
      <c r="K56" s="64" t="str">
        <f>M9</f>
        <v>茂名</v>
      </c>
      <c r="L56" s="120">
        <f>L47/30/12</f>
        <v>3444.9449395382417</v>
      </c>
      <c r="M56" s="120">
        <f>M47/30/12</f>
        <v>3263.8366226143735</v>
      </c>
      <c r="N56" s="121"/>
      <c r="O56" s="122">
        <f>O47/30/12</f>
        <v>3152.7150819035046</v>
      </c>
    </row>
  </sheetData>
  <sheetProtection algorithmName="SHA-512" hashValue="zcjy8tUs2kvr11zkzUk0X3NqNjvU4/tLDYH+Ub9sc/91FcIXzAT3MCk59bkPhx9VNR+viAnBDC6GnEBbOeKISg==" saltValue="nv/dFClRmFDpnXvvEq2Q5A==" spinCount="100000" sheet="1" objects="1" scenarios="1"/>
  <protectedRanges>
    <protectedRange sqref="N3:O4 N6:O9 M7:M12 O10:O12 L36:O44" name="数据输入区"/>
  </protectedRanges>
  <mergeCells count="45">
    <mergeCell ref="A54:A56"/>
    <mergeCell ref="M13:O13"/>
    <mergeCell ref="M14:O14"/>
    <mergeCell ref="M15:O15"/>
    <mergeCell ref="M16:O16"/>
    <mergeCell ref="K13:K16"/>
    <mergeCell ref="A3:A16"/>
    <mergeCell ref="L38:O38"/>
    <mergeCell ref="L39:O39"/>
    <mergeCell ref="L40:O40"/>
    <mergeCell ref="L41:O41"/>
    <mergeCell ref="L42:O42"/>
    <mergeCell ref="M2:O2"/>
    <mergeCell ref="A33:A35"/>
    <mergeCell ref="L33:O33"/>
    <mergeCell ref="L34:O34"/>
    <mergeCell ref="L35:O35"/>
    <mergeCell ref="K10:K12"/>
    <mergeCell ref="A24:A26"/>
    <mergeCell ref="N6:O6"/>
    <mergeCell ref="A51:A53"/>
    <mergeCell ref="K6:M6"/>
    <mergeCell ref="K7:K9"/>
    <mergeCell ref="N7:O7"/>
    <mergeCell ref="N8:O8"/>
    <mergeCell ref="N9:O9"/>
    <mergeCell ref="A48:A50"/>
    <mergeCell ref="A36:A38"/>
    <mergeCell ref="A39:A41"/>
    <mergeCell ref="A42:A44"/>
    <mergeCell ref="L36:O36"/>
    <mergeCell ref="L37:O37"/>
    <mergeCell ref="L43:O43"/>
    <mergeCell ref="L44:O44"/>
    <mergeCell ref="A45:A47"/>
    <mergeCell ref="A1:O1"/>
    <mergeCell ref="A21:A23"/>
    <mergeCell ref="A27:A29"/>
    <mergeCell ref="A30:A32"/>
    <mergeCell ref="A18:A20"/>
    <mergeCell ref="N3:O3"/>
    <mergeCell ref="N4:O4"/>
    <mergeCell ref="K3:L5"/>
    <mergeCell ref="N5:O5"/>
    <mergeCell ref="A2:L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life-lock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贷款买房真实价格计算器</dc:title>
  <dc:creator>Youtudou</dc:creator>
  <cp:lastModifiedBy>Administrator</cp:lastModifiedBy>
  <dcterms:created xsi:type="dcterms:W3CDTF">2015-06-05T18:19:34Z</dcterms:created>
  <dcterms:modified xsi:type="dcterms:W3CDTF">2026-01-15T05:40:52Z</dcterms:modified>
</cp:coreProperties>
</file>